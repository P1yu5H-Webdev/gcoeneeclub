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Piyush Drive\"/>
    </mc:Choice>
  </mc:AlternateContent>
  <xr:revisionPtr revIDLastSave="0" documentId="13_ncr:1_{055B447D-43B0-49E2-A596-D0A867741465}" xr6:coauthVersionLast="47" xr6:coauthVersionMax="47" xr10:uidLastSave="{00000000-0000-0000-0000-000000000000}"/>
  <bookViews>
    <workbookView xWindow="-108" yWindow="-108" windowWidth="23256" windowHeight="12576" xr2:uid="{B3AE0060-D0CF-4AB3-9007-963A1EC178D5}"/>
  </bookViews>
  <sheets>
    <sheet name="Analysis" sheetId="2" r:id="rId1"/>
    <sheet name="Monthly Sales Trend" sheetId="3" r:id="rId2"/>
    <sheet name="Payment Method Usage" sheetId="4" r:id="rId3"/>
    <sheet name="Delivery Status" sheetId="5" r:id="rId4"/>
    <sheet name="Raw_Data" sheetId="1" r:id="rId5"/>
    <sheet name="Dashboard" sheetId="6" r:id="rId6"/>
  </sheets>
  <definedNames>
    <definedName name="Slicer_Category">#N/A</definedName>
    <definedName name="Slicer_Category1">#N/A</definedName>
    <definedName name="Slicer_Region">#N/A</definedName>
    <definedName name="Slicer_Region1">#N/A</definedName>
    <definedName name="Slicer_Year">#N/A</definedName>
  </definedNames>
  <calcPr calcId="181029"/>
  <pivotCaches>
    <pivotCache cacheId="16"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6" l="1"/>
  <c r="C3" i="6"/>
  <c r="C2" i="6"/>
  <c r="C4" i="6" s="1"/>
  <c r="D17" i="1"/>
  <c r="D18" i="1"/>
  <c r="D19" i="1"/>
  <c r="D16" i="1"/>
  <c r="Q4" i="1"/>
  <c r="Q5" i="1"/>
  <c r="Q6" i="1"/>
  <c r="Q3" i="1"/>
  <c r="P4" i="1"/>
  <c r="P5" i="1"/>
  <c r="P6" i="1"/>
  <c r="P3" i="1"/>
  <c r="M3" i="1"/>
  <c r="M4" i="1"/>
  <c r="M5" i="1"/>
  <c r="M6" i="1"/>
  <c r="M7" i="1"/>
  <c r="M8" i="1"/>
  <c r="M9" i="1"/>
  <c r="M10" i="1"/>
  <c r="M11" i="1"/>
  <c r="M2" i="1"/>
  <c r="L3" i="1"/>
  <c r="L4" i="1"/>
  <c r="L5" i="1"/>
  <c r="L6" i="1"/>
  <c r="L7" i="1"/>
  <c r="L8" i="1"/>
  <c r="L9" i="1"/>
  <c r="L10" i="1"/>
  <c r="L11" i="1"/>
  <c r="L2" i="1"/>
  <c r="K3" i="1"/>
  <c r="K4" i="1"/>
  <c r="K5" i="1"/>
  <c r="K6" i="1"/>
  <c r="K7" i="1"/>
  <c r="K8" i="1"/>
  <c r="K9" i="1"/>
  <c r="K10" i="1"/>
  <c r="K11" i="1"/>
  <c r="K2" i="1"/>
</calcChain>
</file>

<file path=xl/sharedStrings.xml><?xml version="1.0" encoding="utf-8"?>
<sst xmlns="http://schemas.openxmlformats.org/spreadsheetml/2006/main" count="121" uniqueCount="60">
  <si>
    <t>Order_ID</t>
  </si>
  <si>
    <t>Order_Date</t>
  </si>
  <si>
    <t>Customer_ID</t>
  </si>
  <si>
    <t>Product</t>
  </si>
  <si>
    <t>Category</t>
  </si>
  <si>
    <t>Quantity</t>
  </si>
  <si>
    <t>Price</t>
  </si>
  <si>
    <t>Payment_Method</t>
  </si>
  <si>
    <t>Delivery_Status</t>
  </si>
  <si>
    <t>Region</t>
  </si>
  <si>
    <t>Total_Sales</t>
  </si>
  <si>
    <t>Month</t>
  </si>
  <si>
    <t>Year</t>
  </si>
  <si>
    <t>C001</t>
  </si>
  <si>
    <t>Smartphone</t>
  </si>
  <si>
    <t>Electronics</t>
  </si>
  <si>
    <t>UPI</t>
  </si>
  <si>
    <t>Delivered</t>
  </si>
  <si>
    <t>North</t>
  </si>
  <si>
    <t>C002</t>
  </si>
  <si>
    <t>Laptop</t>
  </si>
  <si>
    <t>Credit Card</t>
  </si>
  <si>
    <t>South</t>
  </si>
  <si>
    <t>C003</t>
  </si>
  <si>
    <t>T-Shirt</t>
  </si>
  <si>
    <t>Clothing</t>
  </si>
  <si>
    <t>COD</t>
  </si>
  <si>
    <t>East</t>
  </si>
  <si>
    <t>Headphones</t>
  </si>
  <si>
    <t>Cancelled</t>
  </si>
  <si>
    <t>C004</t>
  </si>
  <si>
    <t>Sofa</t>
  </si>
  <si>
    <t>Home</t>
  </si>
  <si>
    <t>Debit Card</t>
  </si>
  <si>
    <t>West</t>
  </si>
  <si>
    <t>C005</t>
  </si>
  <si>
    <t>Shoes</t>
  </si>
  <si>
    <t>C006</t>
  </si>
  <si>
    <t>Microwave</t>
  </si>
  <si>
    <t>Pending</t>
  </si>
  <si>
    <t>Laptop Bag</t>
  </si>
  <si>
    <t>Accessories</t>
  </si>
  <si>
    <t>C007</t>
  </si>
  <si>
    <t>Smartwatch</t>
  </si>
  <si>
    <t>Jeans</t>
  </si>
  <si>
    <t>Total Sales</t>
  </si>
  <si>
    <t xml:space="preserve"> </t>
  </si>
  <si>
    <t>Delivered Orders</t>
  </si>
  <si>
    <t>Row Labels</t>
  </si>
  <si>
    <t>Grand Total</t>
  </si>
  <si>
    <t>Sum of Total_Sales</t>
  </si>
  <si>
    <t>January</t>
  </si>
  <si>
    <t>Number of Orders</t>
  </si>
  <si>
    <t>Payment Method</t>
  </si>
  <si>
    <t>Total Sales by Payment Method</t>
  </si>
  <si>
    <t>%Delivery</t>
  </si>
  <si>
    <t>Total Orders</t>
  </si>
  <si>
    <t>Average Order Value</t>
  </si>
  <si>
    <t>Delivery Success Rate</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</si>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</sst>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font>
      <sz val="11"/>
      <color theme="1"/>
      <name val="Calibri"/>
      <family val="2"/>
      <scheme val="minor"/>
    </font>
    <font>
      <b/>
      <sz val="11"/>
      <color theme="1"/>
      <name val="Calibri"/>
      <family val="2"/>
      <scheme val="minor"/>
    </font>
    <font>
      <b/>
      <sz val="10"/>
      <color theme="1"/>
      <name val="Arial Unicode MS"/>
    </font>
    <font>
      <b/>
      <sz val="24"/>
      <color theme="1"/>
      <name val="Calibri"/>
      <family val="2"/>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0" fontId="0" fillId="0" borderId="0" xfId="0" applyNumberFormat="1"/>
    <xf numFmtId="164" fontId="2" fillId="0" borderId="0" xfId="0" applyNumberFormat="1" applyFont="1" applyAlignment="1">
      <alignment vertical="center" wrapText="1"/>
    </xf>
    <xf numFmtId="0" fontId="2" fillId="0" borderId="0" xfId="0" applyFont="1" applyAlignment="1">
      <alignment vertical="center" wrapText="1"/>
    </xf>
    <xf numFmtId="10" fontId="2" fillId="0" borderId="0" xfId="0" applyNumberFormat="1" applyFont="1" applyAlignment="1">
      <alignment vertical="center" wrapText="1"/>
    </xf>
    <xf numFmtId="0" fontId="3" fillId="0" borderId="0" xfId="0" applyFont="1" applyAlignment="1">
      <alignment horizont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2" xfId="0" applyFont="1" applyBorder="1"/>
    <xf numFmtId="0" fontId="1" fillId="0" borderId="3" xfId="0" applyFont="1" applyBorder="1"/>
    <xf numFmtId="0" fontId="0" fillId="0" borderId="4" xfId="0" applyBorder="1"/>
    <xf numFmtId="14" fontId="0" fillId="0" borderId="0" xfId="0" applyNumberFormat="1" applyBorder="1"/>
    <xf numFmtId="0" fontId="0" fillId="0" borderId="0" xfId="0" applyBorder="1"/>
    <xf numFmtId="0" fontId="0" fillId="0" borderId="5" xfId="0" applyBorder="1"/>
    <xf numFmtId="0" fontId="0" fillId="0" borderId="4" xfId="0" applyBorder="1" applyAlignment="1">
      <alignment horizontal="right" vertical="center" wrapText="1"/>
    </xf>
    <xf numFmtId="14" fontId="0" fillId="0" borderId="0" xfId="0" applyNumberFormat="1" applyBorder="1" applyAlignment="1">
      <alignment horizontal="right" vertical="center" wrapText="1"/>
    </xf>
    <xf numFmtId="14" fontId="0" fillId="0" borderId="0" xfId="0" applyNumberFormat="1" applyBorder="1" applyAlignment="1">
      <alignment vertical="center" wrapText="1"/>
    </xf>
    <xf numFmtId="0" fontId="0" fillId="0" borderId="6" xfId="0" applyBorder="1"/>
    <xf numFmtId="14" fontId="0" fillId="0" borderId="7" xfId="0" applyNumberFormat="1" applyBorder="1" applyAlignment="1">
      <alignment vertical="center" wrapText="1"/>
    </xf>
    <xf numFmtId="0" fontId="0" fillId="0" borderId="7" xfId="0" applyBorder="1"/>
    <xf numFmtId="0" fontId="0" fillId="0" borderId="8" xfId="0" applyBorder="1"/>
    <xf numFmtId="0" fontId="1" fillId="0" borderId="1" xfId="0" applyFont="1" applyBorder="1"/>
  </cellXfs>
  <cellStyles count="1">
    <cellStyle name="Normal" xfId="0" builtinId="0"/>
  </cellStyles>
  <dxfs count="2">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Analysis!$B$3</c:f>
              <c:strCache>
                <c:ptCount val="1"/>
                <c:pt idx="0">
                  <c:v>Total</c:v>
                </c:pt>
              </c:strCache>
            </c:strRef>
          </c:tx>
          <c:spPr>
            <a:solidFill>
              <a:schemeClr val="accent1"/>
            </a:solidFill>
            <a:ln>
              <a:noFill/>
            </a:ln>
            <a:effectLst/>
            <a:sp3d/>
          </c:spPr>
          <c:invertIfNegative val="0"/>
          <c:cat>
            <c:strRef>
              <c:f>Analysis!$A$4:$A$8</c:f>
              <c:strCache>
                <c:ptCount val="4"/>
                <c:pt idx="0">
                  <c:v>Accessories</c:v>
                </c:pt>
                <c:pt idx="1">
                  <c:v>Clothing</c:v>
                </c:pt>
                <c:pt idx="2">
                  <c:v>Electronics</c:v>
                </c:pt>
                <c:pt idx="3">
                  <c:v>Home</c:v>
                </c:pt>
              </c:strCache>
            </c:strRef>
          </c:cat>
          <c:val>
            <c:numRef>
              <c:f>Analysis!$B$4:$B$8</c:f>
              <c:numCache>
                <c:formatCode>"₹"\ #,##0.00</c:formatCode>
                <c:ptCount val="4"/>
                <c:pt idx="0">
                  <c:v>1800</c:v>
                </c:pt>
                <c:pt idx="1">
                  <c:v>11100</c:v>
                </c:pt>
                <c:pt idx="2">
                  <c:v>82000</c:v>
                </c:pt>
                <c:pt idx="3">
                  <c:v>34000</c:v>
                </c:pt>
              </c:numCache>
            </c:numRef>
          </c:val>
          <c:extLst>
            <c:ext xmlns:c16="http://schemas.microsoft.com/office/drawing/2014/chart" uri="{C3380CC4-5D6E-409C-BE32-E72D297353CC}">
              <c16:uniqueId val="{00000000-FE0F-4BE6-B0E8-5FB3884E0838}"/>
            </c:ext>
          </c:extLst>
        </c:ser>
        <c:dLbls>
          <c:showLegendKey val="0"/>
          <c:showVal val="0"/>
          <c:showCatName val="0"/>
          <c:showSerName val="0"/>
          <c:showPercent val="0"/>
          <c:showBubbleSize val="0"/>
        </c:dLbls>
        <c:gapWidth val="150"/>
        <c:shape val="box"/>
        <c:axId val="816585920"/>
        <c:axId val="816584480"/>
        <c:axId val="0"/>
      </c:bar3DChart>
      <c:catAx>
        <c:axId val="816585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84480"/>
        <c:crosses val="autoZero"/>
        <c:auto val="1"/>
        <c:lblAlgn val="ctr"/>
        <c:lblOffset val="100"/>
        <c:noMultiLvlLbl val="0"/>
      </c:catAx>
      <c:valAx>
        <c:axId val="816584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8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Project.xlsx]Monthly Sales Trend!PivotTable2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Trend'!$A$4:$A$5</c:f>
              <c:strCache>
                <c:ptCount val="1"/>
                <c:pt idx="0">
                  <c:v>January</c:v>
                </c:pt>
              </c:strCache>
            </c:strRef>
          </c:cat>
          <c:val>
            <c:numRef>
              <c:f>'Monthly Sales Trend'!$B$4:$B$5</c:f>
              <c:numCache>
                <c:formatCode>"₹"\ #,##0.00</c:formatCode>
                <c:ptCount val="1"/>
                <c:pt idx="0">
                  <c:v>128900</c:v>
                </c:pt>
              </c:numCache>
            </c:numRef>
          </c:val>
          <c:smooth val="0"/>
          <c:extLst>
            <c:ext xmlns:c16="http://schemas.microsoft.com/office/drawing/2014/chart" uri="{C3380CC4-5D6E-409C-BE32-E72D297353CC}">
              <c16:uniqueId val="{00000000-534C-43C4-A9F3-E8355482DEEB}"/>
            </c:ext>
          </c:extLst>
        </c:ser>
        <c:dLbls>
          <c:showLegendKey val="0"/>
          <c:showVal val="0"/>
          <c:showCatName val="0"/>
          <c:showSerName val="0"/>
          <c:showPercent val="0"/>
          <c:showBubbleSize val="0"/>
        </c:dLbls>
        <c:smooth val="0"/>
        <c:axId val="512061792"/>
        <c:axId val="512065152"/>
      </c:lineChart>
      <c:catAx>
        <c:axId val="51206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065152"/>
        <c:crosses val="autoZero"/>
        <c:auto val="1"/>
        <c:lblAlgn val="ctr"/>
        <c:lblOffset val="100"/>
        <c:noMultiLvlLbl val="0"/>
      </c:catAx>
      <c:valAx>
        <c:axId val="512065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06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Project.xlsx]Monthly Sales Trend!PivotTable7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Trend'!$L$1</c:f>
              <c:strCache>
                <c:ptCount val="1"/>
                <c:pt idx="0">
                  <c:v>Total</c:v>
                </c:pt>
              </c:strCache>
            </c:strRef>
          </c:tx>
          <c:spPr>
            <a:ln w="28575" cap="rnd">
              <a:solidFill>
                <a:schemeClr val="accent1"/>
              </a:solidFill>
              <a:round/>
            </a:ln>
            <a:effectLst/>
          </c:spPr>
          <c:marker>
            <c:symbol val="none"/>
          </c:marker>
          <c:cat>
            <c:strRef>
              <c:f>'Monthly Sales Trend'!$K$2:$K$3</c:f>
              <c:strCache>
                <c:ptCount val="1"/>
                <c:pt idx="0">
                  <c:v>January</c:v>
                </c:pt>
              </c:strCache>
            </c:strRef>
          </c:cat>
          <c:val>
            <c:numRef>
              <c:f>'Monthly Sales Trend'!$L$2:$L$3</c:f>
              <c:numCache>
                <c:formatCode>"₹"\ #,##0.00</c:formatCode>
                <c:ptCount val="1"/>
                <c:pt idx="0">
                  <c:v>128900</c:v>
                </c:pt>
              </c:numCache>
            </c:numRef>
          </c:val>
          <c:smooth val="0"/>
          <c:extLst>
            <c:ext xmlns:c16="http://schemas.microsoft.com/office/drawing/2014/chart" uri="{C3380CC4-5D6E-409C-BE32-E72D297353CC}">
              <c16:uniqueId val="{00000000-46EB-481F-9478-59BF572B4C2E}"/>
            </c:ext>
          </c:extLst>
        </c:ser>
        <c:dLbls>
          <c:showLegendKey val="0"/>
          <c:showVal val="0"/>
          <c:showCatName val="0"/>
          <c:showSerName val="0"/>
          <c:showPercent val="0"/>
          <c:showBubbleSize val="0"/>
        </c:dLbls>
        <c:smooth val="0"/>
        <c:axId val="512068032"/>
        <c:axId val="512068512"/>
      </c:lineChart>
      <c:catAx>
        <c:axId val="51206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068512"/>
        <c:crosses val="autoZero"/>
        <c:auto val="1"/>
        <c:lblAlgn val="ctr"/>
        <c:lblOffset val="100"/>
        <c:noMultiLvlLbl val="0"/>
      </c:catAx>
      <c:valAx>
        <c:axId val="512068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06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Project.xlsx]Payment Method Usage!PivotTable3</c:name>
    <c:fmtId val="0"/>
  </c:pivotSource>
  <c:chart>
    <c:title>
      <c:layout>
        <c:manualLayout>
          <c:xMode val="edge"/>
          <c:yMode val="edge"/>
          <c:x val="0.3372845581802274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'Payment Method Usage'!$B$3</c:f>
              <c:strCache>
                <c:ptCount val="1"/>
                <c:pt idx="0">
                  <c:v>Number of Orders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'Payment Method Usage'!$A$4:$A$8</c:f>
              <c:strCache>
                <c:ptCount val="4"/>
                <c:pt idx="0">
                  <c:v>COD</c:v>
                </c:pt>
                <c:pt idx="1">
                  <c:v>Credit Card</c:v>
                </c:pt>
                <c:pt idx="2">
                  <c:v>Debit Card</c:v>
                </c:pt>
                <c:pt idx="3">
                  <c:v>UPI</c:v>
                </c:pt>
              </c:strCache>
            </c:strRef>
          </c:cat>
          <c:val>
            <c:numRef>
              <c:f>'Payment Method Usage'!$B$4:$B$8</c:f>
              <c:numCache>
                <c:formatCode>General</c:formatCode>
                <c:ptCount val="4"/>
                <c:pt idx="0">
                  <c:v>2012</c:v>
                </c:pt>
                <c:pt idx="1">
                  <c:v>2009</c:v>
                </c:pt>
                <c:pt idx="2">
                  <c:v>2015</c:v>
                </c:pt>
                <c:pt idx="3">
                  <c:v>4019</c:v>
                </c:pt>
              </c:numCache>
            </c:numRef>
          </c:val>
          <c:extLst>
            <c:ext xmlns:c16="http://schemas.microsoft.com/office/drawing/2014/chart" uri="{C3380CC4-5D6E-409C-BE32-E72D297353CC}">
              <c16:uniqueId val="{00000000-8FCD-478E-B0B3-A14718D56217}"/>
            </c:ext>
          </c:extLst>
        </c:ser>
        <c:ser>
          <c:idx val="1"/>
          <c:order val="1"/>
          <c:tx>
            <c:strRef>
              <c:f>'Payment Method Usage'!$C$3</c:f>
              <c:strCache>
                <c:ptCount val="1"/>
                <c:pt idx="0">
                  <c:v>Total Sales by Payment Method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'Payment Method Usage'!$A$4:$A$8</c:f>
              <c:strCache>
                <c:ptCount val="4"/>
                <c:pt idx="0">
                  <c:v>COD</c:v>
                </c:pt>
                <c:pt idx="1">
                  <c:v>Credit Card</c:v>
                </c:pt>
                <c:pt idx="2">
                  <c:v>Debit Card</c:v>
                </c:pt>
                <c:pt idx="3">
                  <c:v>UPI</c:v>
                </c:pt>
              </c:strCache>
            </c:strRef>
          </c:cat>
          <c:val>
            <c:numRef>
              <c:f>'Payment Method Usage'!$C$4:$C$8</c:f>
              <c:numCache>
                <c:formatCode>General</c:formatCode>
                <c:ptCount val="4"/>
                <c:pt idx="0">
                  <c:v>10100</c:v>
                </c:pt>
                <c:pt idx="1">
                  <c:v>67000</c:v>
                </c:pt>
                <c:pt idx="2">
                  <c:v>26000</c:v>
                </c:pt>
                <c:pt idx="3">
                  <c:v>25800</c:v>
                </c:pt>
              </c:numCache>
            </c:numRef>
          </c:val>
          <c:extLst>
            <c:ext xmlns:c16="http://schemas.microsoft.com/office/drawing/2014/chart" uri="{C3380CC4-5D6E-409C-BE32-E72D297353CC}">
              <c16:uniqueId val="{00000001-8FCD-478E-B0B3-A14718D562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Project.xlsx]Delivery Status!PivotTable5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'Delivery Status'!$B$3</c:f>
              <c:strCache>
                <c:ptCount val="1"/>
                <c:pt idx="0">
                  <c:v>Total</c:v>
                </c:pt>
              </c:strCache>
            </c:strRef>
          </c:tx>
          <c:spPr>
            <a:solidFill>
              <a:schemeClr val="accent1"/>
            </a:solidFill>
            <a:ln>
              <a:noFill/>
            </a:ln>
            <a:effectLst/>
          </c:spPr>
          <c:invertIfNegative val="0"/>
          <c:cat>
            <c:strRef>
              <c:f>'Delivery Status'!$A$4:$A$7</c:f>
              <c:strCache>
                <c:ptCount val="3"/>
                <c:pt idx="0">
                  <c:v>Cancelled</c:v>
                </c:pt>
                <c:pt idx="1">
                  <c:v>Delivered</c:v>
                </c:pt>
                <c:pt idx="2">
                  <c:v>Pending</c:v>
                </c:pt>
              </c:strCache>
            </c:strRef>
          </c:cat>
          <c:val>
            <c:numRef>
              <c:f>'Delivery Status'!$B$4:$B$7</c:f>
              <c:numCache>
                <c:formatCode>0.00%</c:formatCode>
                <c:ptCount val="3"/>
                <c:pt idx="0">
                  <c:v>0.20029835902536053</c:v>
                </c:pt>
                <c:pt idx="1">
                  <c:v>0.69955246146195926</c:v>
                </c:pt>
                <c:pt idx="2">
                  <c:v>0.10014917951268026</c:v>
                </c:pt>
              </c:numCache>
            </c:numRef>
          </c:val>
          <c:extLst>
            <c:ext xmlns:c16="http://schemas.microsoft.com/office/drawing/2014/chart" uri="{C3380CC4-5D6E-409C-BE32-E72D297353CC}">
              <c16:uniqueId val="{00000000-FF14-4D40-AE4B-9644115460D3}"/>
            </c:ext>
          </c:extLst>
        </c:ser>
        <c:dLbls>
          <c:showLegendKey val="0"/>
          <c:showVal val="0"/>
          <c:showCatName val="0"/>
          <c:showSerName val="0"/>
          <c:showPercent val="0"/>
          <c:showBubbleSize val="0"/>
        </c:dLbls>
        <c:gapWidth val="182"/>
        <c:axId val="816582080"/>
        <c:axId val="816577760"/>
      </c:barChart>
      <c:catAx>
        <c:axId val="81658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77760"/>
        <c:crosses val="autoZero"/>
        <c:auto val="1"/>
        <c:lblAlgn val="ctr"/>
        <c:lblOffset val="100"/>
        <c:noMultiLvlLbl val="0"/>
      </c:catAx>
      <c:valAx>
        <c:axId val="8165777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8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Project.xlsx]Monthly Sales Trend!PivotTable7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Trend'!$L$1</c:f>
              <c:strCache>
                <c:ptCount val="1"/>
                <c:pt idx="0">
                  <c:v>Total</c:v>
                </c:pt>
              </c:strCache>
            </c:strRef>
          </c:tx>
          <c:spPr>
            <a:ln w="28575" cap="rnd">
              <a:solidFill>
                <a:schemeClr val="accent1"/>
              </a:solidFill>
              <a:round/>
            </a:ln>
            <a:effectLst/>
          </c:spPr>
          <c:marker>
            <c:symbol val="none"/>
          </c:marker>
          <c:cat>
            <c:strRef>
              <c:f>'Monthly Sales Trend'!$K$2:$K$3</c:f>
              <c:strCache>
                <c:ptCount val="1"/>
                <c:pt idx="0">
                  <c:v>January</c:v>
                </c:pt>
              </c:strCache>
            </c:strRef>
          </c:cat>
          <c:val>
            <c:numRef>
              <c:f>'Monthly Sales Trend'!$L$2:$L$3</c:f>
              <c:numCache>
                <c:formatCode>"₹"\ #,##0.00</c:formatCode>
                <c:ptCount val="1"/>
                <c:pt idx="0">
                  <c:v>128900</c:v>
                </c:pt>
              </c:numCache>
            </c:numRef>
          </c:val>
          <c:smooth val="0"/>
          <c:extLst>
            <c:ext xmlns:c16="http://schemas.microsoft.com/office/drawing/2014/chart" uri="{C3380CC4-5D6E-409C-BE32-E72D297353CC}">
              <c16:uniqueId val="{00000000-4BDC-472D-AD54-618EC1BC03C2}"/>
            </c:ext>
          </c:extLst>
        </c:ser>
        <c:dLbls>
          <c:showLegendKey val="0"/>
          <c:showVal val="0"/>
          <c:showCatName val="0"/>
          <c:showSerName val="0"/>
          <c:showPercent val="0"/>
          <c:showBubbleSize val="0"/>
        </c:dLbls>
        <c:smooth val="0"/>
        <c:axId val="512068032"/>
        <c:axId val="512068512"/>
      </c:lineChart>
      <c:catAx>
        <c:axId val="51206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068512"/>
        <c:crosses val="autoZero"/>
        <c:auto val="1"/>
        <c:lblAlgn val="ctr"/>
        <c:lblOffset val="100"/>
        <c:noMultiLvlLbl val="0"/>
      </c:catAx>
      <c:valAx>
        <c:axId val="512068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06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Project.xlsx]Delivery Status!PivotTable5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'Delivery Status'!$B$3</c:f>
              <c:strCache>
                <c:ptCount val="1"/>
                <c:pt idx="0">
                  <c:v>Total</c:v>
                </c:pt>
              </c:strCache>
            </c:strRef>
          </c:tx>
          <c:spPr>
            <a:solidFill>
              <a:schemeClr val="accent1"/>
            </a:solidFill>
            <a:ln>
              <a:noFill/>
            </a:ln>
            <a:effectLst/>
          </c:spPr>
          <c:invertIfNegative val="0"/>
          <c:cat>
            <c:strRef>
              <c:f>'Delivery Status'!$A$4:$A$7</c:f>
              <c:strCache>
                <c:ptCount val="3"/>
                <c:pt idx="0">
                  <c:v>Cancelled</c:v>
                </c:pt>
                <c:pt idx="1">
                  <c:v>Delivered</c:v>
                </c:pt>
                <c:pt idx="2">
                  <c:v>Pending</c:v>
                </c:pt>
              </c:strCache>
            </c:strRef>
          </c:cat>
          <c:val>
            <c:numRef>
              <c:f>'Delivery Status'!$B$4:$B$7</c:f>
              <c:numCache>
                <c:formatCode>0.00%</c:formatCode>
                <c:ptCount val="3"/>
                <c:pt idx="0">
                  <c:v>0.20029835902536053</c:v>
                </c:pt>
                <c:pt idx="1">
                  <c:v>0.69955246146195926</c:v>
                </c:pt>
                <c:pt idx="2">
                  <c:v>0.10014917951268026</c:v>
                </c:pt>
              </c:numCache>
            </c:numRef>
          </c:val>
          <c:extLst>
            <c:ext xmlns:c16="http://schemas.microsoft.com/office/drawing/2014/chart" uri="{C3380CC4-5D6E-409C-BE32-E72D297353CC}">
              <c16:uniqueId val="{00000000-98EB-46B3-8F6A-717EC732DF29}"/>
            </c:ext>
          </c:extLst>
        </c:ser>
        <c:dLbls>
          <c:showLegendKey val="0"/>
          <c:showVal val="0"/>
          <c:showCatName val="0"/>
          <c:showSerName val="0"/>
          <c:showPercent val="0"/>
          <c:showBubbleSize val="0"/>
        </c:dLbls>
        <c:gapWidth val="182"/>
        <c:axId val="816582080"/>
        <c:axId val="816577760"/>
      </c:barChart>
      <c:catAx>
        <c:axId val="81658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77760"/>
        <c:crosses val="autoZero"/>
        <c:auto val="1"/>
        <c:lblAlgn val="ctr"/>
        <c:lblOffset val="100"/>
        <c:noMultiLvlLbl val="0"/>
      </c:catAx>
      <c:valAx>
        <c:axId val="8165777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8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Project.xlsx]Analysis!PivotTable1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Analysis!$B$3</c:f>
              <c:strCache>
                <c:ptCount val="1"/>
                <c:pt idx="0">
                  <c:v>Total</c:v>
                </c:pt>
              </c:strCache>
            </c:strRef>
          </c:tx>
          <c:spPr>
            <a:solidFill>
              <a:schemeClr val="accent1"/>
            </a:solidFill>
            <a:ln>
              <a:noFill/>
            </a:ln>
            <a:effectLst/>
            <a:sp3d/>
          </c:spPr>
          <c:invertIfNegative val="0"/>
          <c:cat>
            <c:strRef>
              <c:f>Analysis!$A$4:$A$8</c:f>
              <c:strCache>
                <c:ptCount val="4"/>
                <c:pt idx="0">
                  <c:v>Accessories</c:v>
                </c:pt>
                <c:pt idx="1">
                  <c:v>Clothing</c:v>
                </c:pt>
                <c:pt idx="2">
                  <c:v>Electronics</c:v>
                </c:pt>
                <c:pt idx="3">
                  <c:v>Home</c:v>
                </c:pt>
              </c:strCache>
            </c:strRef>
          </c:cat>
          <c:val>
            <c:numRef>
              <c:f>Analysis!$B$4:$B$8</c:f>
              <c:numCache>
                <c:formatCode>"₹"\ #,##0.00</c:formatCode>
                <c:ptCount val="4"/>
                <c:pt idx="0">
                  <c:v>1800</c:v>
                </c:pt>
                <c:pt idx="1">
                  <c:v>11100</c:v>
                </c:pt>
                <c:pt idx="2">
                  <c:v>82000</c:v>
                </c:pt>
                <c:pt idx="3">
                  <c:v>34000</c:v>
                </c:pt>
              </c:numCache>
            </c:numRef>
          </c:val>
          <c:extLst>
            <c:ext xmlns:c16="http://schemas.microsoft.com/office/drawing/2014/chart" uri="{C3380CC4-5D6E-409C-BE32-E72D297353CC}">
              <c16:uniqueId val="{00000000-1C6D-4446-B03F-C5294138EB6B}"/>
            </c:ext>
          </c:extLst>
        </c:ser>
        <c:dLbls>
          <c:showLegendKey val="0"/>
          <c:showVal val="0"/>
          <c:showCatName val="0"/>
          <c:showSerName val="0"/>
          <c:showPercent val="0"/>
          <c:showBubbleSize val="0"/>
        </c:dLbls>
        <c:gapWidth val="150"/>
        <c:shape val="box"/>
        <c:axId val="816585920"/>
        <c:axId val="816584480"/>
        <c:axId val="0"/>
      </c:bar3DChart>
      <c:catAx>
        <c:axId val="816585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84480"/>
        <c:crosses val="autoZero"/>
        <c:auto val="1"/>
        <c:lblAlgn val="ctr"/>
        <c:lblOffset val="100"/>
        <c:noMultiLvlLbl val="0"/>
      </c:catAx>
      <c:valAx>
        <c:axId val="816584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8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Project.xlsx]Payment Method Usage!PivotTable3</c:name>
    <c:fmtId val="3"/>
  </c:pivotSource>
  <c:chart>
    <c:title>
      <c:layout>
        <c:manualLayout>
          <c:xMode val="edge"/>
          <c:yMode val="edge"/>
          <c:x val="0.3372845581802274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'Payment Method Usage'!$B$3</c:f>
              <c:strCache>
                <c:ptCount val="1"/>
                <c:pt idx="0">
                  <c:v>Number of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58-4877-8F83-D06E20E1E1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58-4877-8F83-D06E20E1E1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58-4877-8F83-D06E20E1E1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58-4877-8F83-D06E20E1E1B3}"/>
              </c:ext>
            </c:extLst>
          </c:dPt>
          <c:cat>
            <c:strRef>
              <c:f>'Payment Method Usage'!$A$4:$A$8</c:f>
              <c:strCache>
                <c:ptCount val="4"/>
                <c:pt idx="0">
                  <c:v>COD</c:v>
                </c:pt>
                <c:pt idx="1">
                  <c:v>Credit Card</c:v>
                </c:pt>
                <c:pt idx="2">
                  <c:v>Debit Card</c:v>
                </c:pt>
                <c:pt idx="3">
                  <c:v>UPI</c:v>
                </c:pt>
              </c:strCache>
            </c:strRef>
          </c:cat>
          <c:val>
            <c:numRef>
              <c:f>'Payment Method Usage'!$B$4:$B$8</c:f>
              <c:numCache>
                <c:formatCode>General</c:formatCode>
                <c:ptCount val="4"/>
                <c:pt idx="0">
                  <c:v>2012</c:v>
                </c:pt>
                <c:pt idx="1">
                  <c:v>2009</c:v>
                </c:pt>
                <c:pt idx="2">
                  <c:v>2015</c:v>
                </c:pt>
                <c:pt idx="3">
                  <c:v>4019</c:v>
                </c:pt>
              </c:numCache>
            </c:numRef>
          </c:val>
          <c:extLst>
            <c:ext xmlns:c16="http://schemas.microsoft.com/office/drawing/2014/chart" uri="{C3380CC4-5D6E-409C-BE32-E72D297353CC}">
              <c16:uniqueId val="{00000008-4558-4877-8F83-D06E20E1E1B3}"/>
            </c:ext>
          </c:extLst>
        </c:ser>
        <c:ser>
          <c:idx val="1"/>
          <c:order val="1"/>
          <c:tx>
            <c:strRef>
              <c:f>'Payment Method Usage'!$C$3</c:f>
              <c:strCache>
                <c:ptCount val="1"/>
                <c:pt idx="0">
                  <c:v>Total Sales by Payment Method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4558-4877-8F83-D06E20E1E1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4558-4877-8F83-D06E20E1E1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4558-4877-8F83-D06E20E1E1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4558-4877-8F83-D06E20E1E1B3}"/>
              </c:ext>
            </c:extLst>
          </c:dPt>
          <c:cat>
            <c:strRef>
              <c:f>'Payment Method Usage'!$A$4:$A$8</c:f>
              <c:strCache>
                <c:ptCount val="4"/>
                <c:pt idx="0">
                  <c:v>COD</c:v>
                </c:pt>
                <c:pt idx="1">
                  <c:v>Credit Card</c:v>
                </c:pt>
                <c:pt idx="2">
                  <c:v>Debit Card</c:v>
                </c:pt>
                <c:pt idx="3">
                  <c:v>UPI</c:v>
                </c:pt>
              </c:strCache>
            </c:strRef>
          </c:cat>
          <c:val>
            <c:numRef>
              <c:f>'Payment Method Usage'!$C$4:$C$8</c:f>
              <c:numCache>
                <c:formatCode>General</c:formatCode>
                <c:ptCount val="4"/>
                <c:pt idx="0">
                  <c:v>10100</c:v>
                </c:pt>
                <c:pt idx="1">
                  <c:v>67000</c:v>
                </c:pt>
                <c:pt idx="2">
                  <c:v>26000</c:v>
                </c:pt>
                <c:pt idx="3">
                  <c:v>25800</c:v>
                </c:pt>
              </c:numCache>
            </c:numRef>
          </c:val>
          <c:extLst>
            <c:ext xmlns:c16="http://schemas.microsoft.com/office/drawing/2014/chart" uri="{C3380CC4-5D6E-409C-BE32-E72D297353CC}">
              <c16:uniqueId val="{00000011-4558-4877-8F83-D06E20E1E1B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746760</xdr:colOff>
      <xdr:row>9</xdr:row>
      <xdr:rowOff>26670</xdr:rowOff>
    </xdr:from>
    <xdr:to>
      <xdr:col>8</xdr:col>
      <xdr:colOff>495300</xdr:colOff>
      <xdr:row>24</xdr:row>
      <xdr:rowOff>26670</xdr:rowOff>
    </xdr:to>
    <xdr:graphicFrame macro="">
      <xdr:nvGraphicFramePr>
        <xdr:cNvPr id="2" name="Chart 1">
          <a:extLst>
            <a:ext uri="{FF2B5EF4-FFF2-40B4-BE49-F238E27FC236}">
              <a16:creationId xmlns:a16="http://schemas.microsoft.com/office/drawing/2014/main" id="{69B5F29F-D47E-98C5-BCB4-2C487717D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480060</xdr:colOff>
      <xdr:row>9</xdr:row>
      <xdr:rowOff>15241</xdr:rowOff>
    </xdr:from>
    <xdr:to>
      <xdr:col>11</xdr:col>
      <xdr:colOff>487680</xdr:colOff>
      <xdr:row>17</xdr:row>
      <xdr:rowOff>129541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687AA1D0-10BA-D5E1-0999-5A977041B9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64580" y="1661161"/>
              <a:ext cx="183642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518160</xdr:colOff>
      <xdr:row>9</xdr:row>
      <xdr:rowOff>7621</xdr:rowOff>
    </xdr:from>
    <xdr:to>
      <xdr:col>14</xdr:col>
      <xdr:colOff>525780</xdr:colOff>
      <xdr:row>17</xdr:row>
      <xdr:rowOff>99061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5613C6F-32D0-3AF1-C8FB-0B6B2037CE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31480" y="1653541"/>
              <a:ext cx="183642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571500</xdr:colOff>
      <xdr:row>8</xdr:row>
      <xdr:rowOff>167641</xdr:rowOff>
    </xdr:from>
    <xdr:to>
      <xdr:col>17</xdr:col>
      <xdr:colOff>541020</xdr:colOff>
      <xdr:row>12</xdr:row>
      <xdr:rowOff>99061</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F53FACCC-6983-B573-5C26-C9625D48BDE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13620" y="1630681"/>
              <a:ext cx="179832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807720</xdr:colOff>
      <xdr:row>9</xdr:row>
      <xdr:rowOff>49530</xdr:rowOff>
    </xdr:from>
    <xdr:to>
      <xdr:col>7</xdr:col>
      <xdr:colOff>304800</xdr:colOff>
      <xdr:row>24</xdr:row>
      <xdr:rowOff>49530</xdr:rowOff>
    </xdr:to>
    <xdr:graphicFrame macro="">
      <xdr:nvGraphicFramePr>
        <xdr:cNvPr id="2" name="Chart 1">
          <a:extLst>
            <a:ext uri="{FF2B5EF4-FFF2-40B4-BE49-F238E27FC236}">
              <a16:creationId xmlns:a16="http://schemas.microsoft.com/office/drawing/2014/main" id="{C512BF7B-E50E-351C-758A-612E3C0C2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548640</xdr:colOff>
      <xdr:row>5</xdr:row>
      <xdr:rowOff>87630</xdr:rowOff>
    </xdr:from>
    <xdr:to>
      <xdr:col>18</xdr:col>
      <xdr:colOff>297180</xdr:colOff>
      <xdr:row>20</xdr:row>
      <xdr:rowOff>87630</xdr:rowOff>
    </xdr:to>
    <xdr:graphicFrame macro="">
      <xdr:nvGraphicFramePr>
        <xdr:cNvPr id="3" name="Chart 2">
          <a:extLst>
            <a:ext uri="{FF2B5EF4-FFF2-40B4-BE49-F238E27FC236}">
              <a16:creationId xmlns:a16="http://schemas.microsoft.com/office/drawing/2014/main" id="{32B0CC0D-C118-DFA3-1426-DC8BC43DD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137160</xdr:colOff>
      <xdr:row>5</xdr:row>
      <xdr:rowOff>30480</xdr:rowOff>
    </xdr:from>
    <xdr:to>
      <xdr:col>21</xdr:col>
      <xdr:colOff>137160</xdr:colOff>
      <xdr:row>18</xdr:row>
      <xdr:rowOff>120015</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CEF1437A-E420-780F-8575-F7DE7814628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725400" y="944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198120</xdr:colOff>
      <xdr:row>5</xdr:row>
      <xdr:rowOff>22860</xdr:rowOff>
    </xdr:from>
    <xdr:to>
      <xdr:col>24</xdr:col>
      <xdr:colOff>198120</xdr:colOff>
      <xdr:row>18</xdr:row>
      <xdr:rowOff>112395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BD3BE59B-474A-BF8C-99A5-2E27FDB3E68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615160" y="937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281940</xdr:colOff>
      <xdr:row>5</xdr:row>
      <xdr:rowOff>53340</xdr:rowOff>
    </xdr:from>
    <xdr:to>
      <xdr:col>27</xdr:col>
      <xdr:colOff>281940</xdr:colOff>
      <xdr:row>18</xdr:row>
      <xdr:rowOff>142875</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DF9734CF-C040-B7FC-E25F-AE6D86C6318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6527780" y="967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110490</xdr:rowOff>
    </xdr:from>
    <xdr:to>
      <xdr:col>10</xdr:col>
      <xdr:colOff>541020</xdr:colOff>
      <xdr:row>16</xdr:row>
      <xdr:rowOff>110490</xdr:rowOff>
    </xdr:to>
    <xdr:graphicFrame macro="">
      <xdr:nvGraphicFramePr>
        <xdr:cNvPr id="2" name="Chart 1">
          <a:extLst>
            <a:ext uri="{FF2B5EF4-FFF2-40B4-BE49-F238E27FC236}">
              <a16:creationId xmlns:a16="http://schemas.microsoft.com/office/drawing/2014/main" id="{E1E67A08-D6E2-8043-F47A-E6B2F261D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297180</xdr:colOff>
      <xdr:row>1</xdr:row>
      <xdr:rowOff>179070</xdr:rowOff>
    </xdr:from>
    <xdr:to>
      <xdr:col>9</xdr:col>
      <xdr:colOff>426720</xdr:colOff>
      <xdr:row>16</xdr:row>
      <xdr:rowOff>179070</xdr:rowOff>
    </xdr:to>
    <xdr:graphicFrame macro="">
      <xdr:nvGraphicFramePr>
        <xdr:cNvPr id="3" name="Chart 2">
          <a:extLst>
            <a:ext uri="{FF2B5EF4-FFF2-40B4-BE49-F238E27FC236}">
              <a16:creationId xmlns:a16="http://schemas.microsoft.com/office/drawing/2014/main" id="{1CD1A375-88D1-52F7-42D4-99881E424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53340</xdr:colOff>
      <xdr:row>16</xdr:row>
      <xdr:rowOff>167640</xdr:rowOff>
    </xdr:to>
    <xdr:graphicFrame macro="">
      <xdr:nvGraphicFramePr>
        <xdr:cNvPr id="3" name="Chart 2">
          <a:extLst>
            <a:ext uri="{FF2B5EF4-FFF2-40B4-BE49-F238E27FC236}">
              <a16:creationId xmlns:a16="http://schemas.microsoft.com/office/drawing/2014/main" id="{A79A85C9-E4F4-4CC1-BCFD-099E41FC0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4</xdr:row>
      <xdr:rowOff>30480</xdr:rowOff>
    </xdr:from>
    <xdr:to>
      <xdr:col>12</xdr:col>
      <xdr:colOff>7620</xdr:colOff>
      <xdr:row>17</xdr:row>
      <xdr:rowOff>22860</xdr:rowOff>
    </xdr:to>
    <xdr:graphicFrame macro="">
      <xdr:nvGraphicFramePr>
        <xdr:cNvPr id="4" name="Chart 3">
          <a:extLst>
            <a:ext uri="{FF2B5EF4-FFF2-40B4-BE49-F238E27FC236}">
              <a16:creationId xmlns:a16="http://schemas.microsoft.com/office/drawing/2014/main" id="{1D93B1D5-2561-4446-B735-3146BE653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579120</xdr:colOff>
      <xdr:row>1</xdr:row>
      <xdr:rowOff>106680</xdr:rowOff>
    </xdr:from>
    <xdr:to>
      <xdr:col>20</xdr:col>
      <xdr:colOff>205740</xdr:colOff>
      <xdr:row>18</xdr:row>
      <xdr:rowOff>175260</xdr:rowOff>
    </xdr:to>
    <xdr:graphicFrame macro="">
      <xdr:nvGraphicFramePr>
        <xdr:cNvPr id="6" name="Chart 5">
          <a:extLst>
            <a:ext uri="{FF2B5EF4-FFF2-40B4-BE49-F238E27FC236}">
              <a16:creationId xmlns:a16="http://schemas.microsoft.com/office/drawing/2014/main" id="{D6DB422D-DBE3-4212-9503-C0F37C3D3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0</xdr:rowOff>
    </xdr:from>
    <xdr:to>
      <xdr:col>5</xdr:col>
      <xdr:colOff>320040</xdr:colOff>
      <xdr:row>34</xdr:row>
      <xdr:rowOff>0</xdr:rowOff>
    </xdr:to>
    <xdr:graphicFrame macro="">
      <xdr:nvGraphicFramePr>
        <xdr:cNvPr id="7" name="Chart 6">
          <a:extLst>
            <a:ext uri="{FF2B5EF4-FFF2-40B4-BE49-F238E27FC236}">
              <a16:creationId xmlns:a16="http://schemas.microsoft.com/office/drawing/2014/main" id="{FFA33D5C-01A4-4833-BA4F-233A4EE0F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6.14637534722" createdVersion="8" refreshedVersion="8" minRefreshableVersion="3" recordCount="10" xr:uid="{FC6B594F-75A1-4EF8-9CA1-4DA8504E31E9}">
  <cacheSource type="worksheet">
    <worksheetSource ref="A1:M11" sheet="Raw_Data"/>
  </cacheSource>
  <cacheFields count="13">
    <cacheField name="Order_ID" numFmtId="0">
      <sharedItems containsSemiMixedTypes="0" containsString="0" containsNumber="1" containsInteger="1" minValue="1001" maxValue="1010"/>
    </cacheField>
    <cacheField name="Order_Date" numFmtId="14">
      <sharedItems containsSemiMixedTypes="0" containsNonDate="0" containsDate="1" containsString="0" minDate="2024-01-01T00:00:00" maxDate="2024-01-10T00:00:00"/>
    </cacheField>
    <cacheField name="Customer_ID" numFmtId="0">
      <sharedItems/>
    </cacheField>
    <cacheField name="Product" numFmtId="0">
      <sharedItems/>
    </cacheField>
    <cacheField name="Category" numFmtId="0">
      <sharedItems count="4">
        <s v="Electronics"/>
        <s v="Clothing"/>
        <s v="Home"/>
        <s v="Accessories"/>
      </sharedItems>
    </cacheField>
    <cacheField name="Quantity" numFmtId="0">
      <sharedItems containsSemiMixedTypes="0" containsString="0" containsNumber="1" containsInteger="1" minValue="1" maxValue="3"/>
    </cacheField>
    <cacheField name="Price" numFmtId="0">
      <sharedItems containsSemiMixedTypes="0" containsString="0" containsNumber="1" containsInteger="1" minValue="700" maxValue="55000"/>
    </cacheField>
    <cacheField name="Payment_Method" numFmtId="0">
      <sharedItems count="4">
        <s v="UPI"/>
        <s v="Credit Card"/>
        <s v="COD"/>
        <s v="Debit Card"/>
      </sharedItems>
    </cacheField>
    <cacheField name="Delivery_Status" numFmtId="0">
      <sharedItems count="3">
        <s v="Delivered"/>
        <s v="Cancelled"/>
        <s v="Pending"/>
      </sharedItems>
    </cacheField>
    <cacheField name="Region" numFmtId="0">
      <sharedItems count="4">
        <s v="North"/>
        <s v="South"/>
        <s v="East"/>
        <s v="West"/>
      </sharedItems>
    </cacheField>
    <cacheField name="Total_Sales" numFmtId="0">
      <sharedItems containsSemiMixedTypes="0" containsString="0" containsNumber="1" containsInteger="1" minValue="1800" maxValue="55000"/>
    </cacheField>
    <cacheField name="Month" numFmtId="0">
      <sharedItems count="1">
        <s v="January"/>
      </sharedItems>
    </cacheField>
    <cacheField name="Year" numFmtId="0">
      <sharedItems count="1">
        <s v="2024"/>
      </sharedItems>
    </cacheField>
  </cacheFields>
  <extLst>
    <ext xmlns:x14="http://schemas.microsoft.com/office/spreadsheetml/2009/9/main" uri="{725AE2AE-9491-48be-B2B4-4EB974FC3084}">
      <x14:pivotCacheDefinition pivotCacheId="316119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d v="2024-01-01T00:00:00"/>
    <s v="C001"/>
    <s v="Smartphone"/>
    <x v="0"/>
    <n v="1"/>
    <n v="15000"/>
    <x v="0"/>
    <x v="0"/>
    <x v="0"/>
    <n v="15000"/>
    <x v="0"/>
    <x v="0"/>
  </r>
  <r>
    <n v="1002"/>
    <d v="2024-01-02T00:00:00"/>
    <s v="C002"/>
    <s v="Laptop"/>
    <x v="0"/>
    <n v="1"/>
    <n v="55000"/>
    <x v="1"/>
    <x v="0"/>
    <x v="1"/>
    <n v="55000"/>
    <x v="0"/>
    <x v="0"/>
  </r>
  <r>
    <n v="1003"/>
    <d v="2024-01-02T00:00:00"/>
    <s v="C003"/>
    <s v="T-Shirt"/>
    <x v="1"/>
    <n v="3"/>
    <n v="700"/>
    <x v="2"/>
    <x v="0"/>
    <x v="2"/>
    <n v="2100"/>
    <x v="0"/>
    <x v="0"/>
  </r>
  <r>
    <n v="1004"/>
    <d v="2024-01-03T00:00:00"/>
    <s v="C001"/>
    <s v="Headphones"/>
    <x v="0"/>
    <n v="2"/>
    <n v="2000"/>
    <x v="0"/>
    <x v="1"/>
    <x v="0"/>
    <n v="4000"/>
    <x v="0"/>
    <x v="0"/>
  </r>
  <r>
    <n v="1005"/>
    <d v="2024-01-04T00:00:00"/>
    <s v="C004"/>
    <s v="Sofa"/>
    <x v="2"/>
    <n v="1"/>
    <n v="22000"/>
    <x v="3"/>
    <x v="0"/>
    <x v="3"/>
    <n v="22000"/>
    <x v="0"/>
    <x v="0"/>
  </r>
  <r>
    <n v="1006"/>
    <d v="2024-01-05T00:00:00"/>
    <s v="C005"/>
    <s v="Shoes"/>
    <x v="1"/>
    <n v="2"/>
    <n v="2500"/>
    <x v="0"/>
    <x v="0"/>
    <x v="1"/>
    <n v="5000"/>
    <x v="0"/>
    <x v="0"/>
  </r>
  <r>
    <n v="1007"/>
    <d v="2024-01-06T00:00:00"/>
    <s v="C006"/>
    <s v="Microwave"/>
    <x v="2"/>
    <n v="1"/>
    <n v="12000"/>
    <x v="1"/>
    <x v="2"/>
    <x v="2"/>
    <n v="12000"/>
    <x v="0"/>
    <x v="0"/>
  </r>
  <r>
    <n v="1008"/>
    <d v="2024-01-07T00:00:00"/>
    <s v="C002"/>
    <s v="Laptop Bag"/>
    <x v="3"/>
    <n v="1"/>
    <n v="1800"/>
    <x v="0"/>
    <x v="0"/>
    <x v="1"/>
    <n v="1800"/>
    <x v="0"/>
    <x v="0"/>
  </r>
  <r>
    <n v="1009"/>
    <d v="2024-01-08T00:00:00"/>
    <s v="C007"/>
    <s v="Smartwatch"/>
    <x v="0"/>
    <n v="1"/>
    <n v="8000"/>
    <x v="2"/>
    <x v="0"/>
    <x v="3"/>
    <n v="8000"/>
    <x v="0"/>
    <x v="0"/>
  </r>
  <r>
    <n v="1010"/>
    <d v="2024-01-09T00:00:00"/>
    <s v="C003"/>
    <s v="Jeans"/>
    <x v="1"/>
    <n v="2"/>
    <n v="2000"/>
    <x v="3"/>
    <x v="1"/>
    <x v="2"/>
    <n v="400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A402FA-7087-4C22-9856-628B160B376B}"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numFmtId="14" showAll="0"/>
    <pivotField showAll="0"/>
    <pivotField showAll="0"/>
    <pivotField axis="axisRow" showAll="0">
      <items count="5">
        <item x="3"/>
        <item x="1"/>
        <item x="0"/>
        <item x="2"/>
        <item t="default"/>
      </items>
    </pivotField>
    <pivotField showAll="0"/>
    <pivotField showAll="0"/>
    <pivotField showAll="0"/>
    <pivotField showAll="0"/>
    <pivotField showAll="0">
      <items count="5">
        <item x="2"/>
        <item x="0"/>
        <item x="1"/>
        <item x="3"/>
        <item t="default"/>
      </items>
    </pivotField>
    <pivotField dataField="1" showAll="0"/>
    <pivotField showAll="0">
      <items count="2">
        <item x="0"/>
        <item t="default"/>
      </items>
    </pivotField>
    <pivotField showAll="0">
      <items count="2">
        <item x="0"/>
        <item t="default"/>
      </items>
    </pivotField>
  </pivotFields>
  <rowFields count="1">
    <field x="4"/>
  </rowFields>
  <rowItems count="5">
    <i>
      <x/>
    </i>
    <i>
      <x v="1"/>
    </i>
    <i>
      <x v="2"/>
    </i>
    <i>
      <x v="3"/>
    </i>
    <i t="grand">
      <x/>
    </i>
  </rowItems>
  <colItems count="1">
    <i/>
  </colItems>
  <dataFields count="1">
    <dataField name="Sum of Total_Sales" fld="10" baseField="0" baseItem="0" numFmtId="164"/>
  </dataFields>
  <formats count="2">
    <format dxfId="1">
      <pivotArea collapsedLevelsAreSubtotals="1" fieldPosition="0">
        <references count="1">
          <reference field="4" count="1">
            <x v="0"/>
          </reference>
        </references>
      </pivotArea>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45137E-47F2-4259-96F9-97A93A0A8815}"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L3" firstHeaderRow="1" firstDataRow="1" firstDataCol="1"/>
  <pivotFields count="13">
    <pivotField showAll="0"/>
    <pivotField numFmtId="14" showAll="0"/>
    <pivotField showAll="0"/>
    <pivotField showAll="0"/>
    <pivotField showAll="0">
      <items count="5">
        <item x="3"/>
        <item x="1"/>
        <item x="0"/>
        <item x="2"/>
        <item t="default"/>
      </items>
    </pivotField>
    <pivotField showAll="0"/>
    <pivotField showAll="0"/>
    <pivotField showAll="0"/>
    <pivotField showAll="0"/>
    <pivotField showAll="0">
      <items count="5">
        <item x="2"/>
        <item x="0"/>
        <item x="1"/>
        <item x="3"/>
        <item t="default"/>
      </items>
    </pivotField>
    <pivotField dataField="1" showAll="0"/>
    <pivotField axis="axisRow" showAll="0">
      <items count="2">
        <item x="0"/>
        <item t="default"/>
      </items>
    </pivotField>
    <pivotField showAll="0">
      <items count="2">
        <item x="0"/>
        <item t="default"/>
      </items>
    </pivotField>
  </pivotFields>
  <rowFields count="1">
    <field x="11"/>
  </rowFields>
  <rowItems count="2">
    <i>
      <x/>
    </i>
    <i t="grand">
      <x/>
    </i>
  </rowItems>
  <colItems count="1">
    <i/>
  </colItems>
  <dataFields count="1">
    <dataField name="Sum of Total_Sales" fld="10"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FFBD29-B0D1-4E69-814B-1DCE58AFC79D}"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13">
    <pivotField showAll="0"/>
    <pivotField numFmtId="14" showAll="0"/>
    <pivotField showAll="0"/>
    <pivotField showAll="0"/>
    <pivotField showAll="0"/>
    <pivotField showAll="0"/>
    <pivotField showAll="0"/>
    <pivotField showAll="0"/>
    <pivotField showAll="0"/>
    <pivotField showAll="0"/>
    <pivotField dataField="1" showAll="0"/>
    <pivotField axis="axisRow" showAll="0">
      <items count="2">
        <item x="0"/>
        <item t="default"/>
      </items>
    </pivotField>
    <pivotField showAll="0">
      <items count="2">
        <item x="0"/>
        <item t="default"/>
      </items>
    </pivotField>
  </pivotFields>
  <rowFields count="1">
    <field x="11"/>
  </rowFields>
  <rowItems count="2">
    <i>
      <x/>
    </i>
    <i t="grand">
      <x/>
    </i>
  </rowItems>
  <colItems count="1">
    <i/>
  </colItems>
  <dataFields count="1">
    <dataField name="Sum of Total_Sales" fld="1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56F830-7BA7-4311-90BD-AE3DD95F8711}"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13">
    <pivotField dataField="1" showAll="0"/>
    <pivotField numFmtId="14" showAll="0"/>
    <pivotField showAll="0"/>
    <pivotField showAll="0"/>
    <pivotField showAll="0"/>
    <pivotField showAll="0"/>
    <pivotField showAll="0"/>
    <pivotField axis="axisRow" showAll="0">
      <items count="5">
        <item x="2"/>
        <item x="1"/>
        <item x="3"/>
        <item x="0"/>
        <item t="default"/>
      </items>
    </pivotField>
    <pivotField showAll="0"/>
    <pivotField showAll="0"/>
    <pivotField dataField="1" showAll="0"/>
    <pivotField showAll="0"/>
    <pivotField showAll="0">
      <items count="2">
        <item x="0"/>
        <item t="default"/>
      </items>
    </pivotField>
  </pivotFields>
  <rowFields count="1">
    <field x="7"/>
  </rowFields>
  <rowItems count="5">
    <i>
      <x/>
    </i>
    <i>
      <x v="1"/>
    </i>
    <i>
      <x v="2"/>
    </i>
    <i>
      <x v="3"/>
    </i>
    <i t="grand">
      <x/>
    </i>
  </rowItems>
  <colFields count="1">
    <field x="-2"/>
  </colFields>
  <colItems count="2">
    <i>
      <x/>
    </i>
    <i i="1">
      <x v="1"/>
    </i>
  </colItems>
  <dataFields count="2">
    <dataField name="Number of Orders" fld="0" baseField="7" baseItem="0"/>
    <dataField name="Total Sales by Payment Method" fld="10" baseField="7"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7" count="1" selected="0">
            <x v="0"/>
          </reference>
        </references>
      </pivotArea>
    </chartFormat>
    <chartFormat chart="3" format="19">
      <pivotArea type="data" outline="0" fieldPosition="0">
        <references count="2">
          <reference field="4294967294" count="1" selected="0">
            <x v="1"/>
          </reference>
          <reference field="7" count="1" selected="0">
            <x v="1"/>
          </reference>
        </references>
      </pivotArea>
    </chartFormat>
    <chartFormat chart="3" format="20">
      <pivotArea type="data" outline="0" fieldPosition="0">
        <references count="2">
          <reference field="4294967294" count="1" selected="0">
            <x v="1"/>
          </reference>
          <reference field="7" count="1" selected="0">
            <x v="2"/>
          </reference>
        </references>
      </pivotArea>
    </chartFormat>
    <chartFormat chart="3" format="21">
      <pivotArea type="data" outline="0" fieldPosition="0">
        <references count="2">
          <reference field="4294967294" count="1" selected="0">
            <x v="1"/>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12B9EA-D669-4A32-A063-C99199928E3D}"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3">
    <pivotField dataField="1" showAll="0"/>
    <pivotField numFmtId="14"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items count="2">
        <item x="0"/>
        <item t="default"/>
      </items>
    </pivotField>
  </pivotFields>
  <rowFields count="1">
    <field x="8"/>
  </rowFields>
  <rowItems count="4">
    <i>
      <x/>
    </i>
    <i>
      <x v="1"/>
    </i>
    <i>
      <x v="2"/>
    </i>
    <i t="grand">
      <x/>
    </i>
  </rowItems>
  <colItems count="1">
    <i/>
  </colItems>
  <dataFields count="1">
    <dataField name="%Delivery" fld="0"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6E4F72-23BE-44E0-B86D-405F84CAD01C}" sourceName="Category">
  <pivotTables>
    <pivotTable tabId="2" name="PivotTable1"/>
  </pivotTables>
  <data>
    <tabular pivotCacheId="31611901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ED1F5C-3108-437F-8829-BB9D8BF10629}" sourceName="Region">
  <pivotTables>
    <pivotTable tabId="2" name="PivotTable1"/>
  </pivotTables>
  <data>
    <tabular pivotCacheId="316119014">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9E95B8A-0274-4BB3-A9A3-8E8983010804}" sourceName="Year">
  <pivotTables>
    <pivotTable tabId="2" name="PivotTable1"/>
    <pivotTable tabId="5" name="PivotTable5"/>
    <pivotTable tabId="3" name="PivotTable2"/>
    <pivotTable tabId="3" name="PivotTable7"/>
    <pivotTable tabId="4" name="PivotTable3"/>
  </pivotTables>
  <data>
    <tabular pivotCacheId="316119014">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96CE50E-7BA9-421E-9748-5C6D6597B423}" sourceName="Category">
  <pivotTables>
    <pivotTable tabId="3" name="PivotTable7"/>
  </pivotTables>
  <data>
    <tabular pivotCacheId="316119014">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6CA95FF-012D-4109-96F4-4D02320695D0}" sourceName="Region">
  <pivotTables>
    <pivotTable tabId="3" name="PivotTable7"/>
  </pivotTables>
  <data>
    <tabular pivotCacheId="31611901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811EF24-265E-43C4-B439-65720F6B3529}" cache="Slicer_Category" caption="Category" rowHeight="234950"/>
  <slicer name="Region" xr10:uid="{57C11FAD-2731-4FF9-A39E-F51B2797E23E}" cache="Slicer_Region" caption="Region" rowHeight="234950"/>
  <slicer name="Year" xr10:uid="{CF782AD3-E29B-4439-9653-9D36C534B015}"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589B390-55AD-4740-A573-89C1F5E8C3CC}" cache="Slicer_Year" caption="Year" rowHeight="234950"/>
  <slicer name="Category 1" xr10:uid="{A941BA1A-EC2B-44EC-B95E-905647578423}" cache="Slicer_Category1" caption="Category" rowHeight="234950"/>
  <slicer name="Region 1" xr10:uid="{2042C3B5-A87F-492C-89A7-17170DB2977F}" cache="Slicer_Region1"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D9868-DBE9-4D90-8253-DE98C81D1334}">
  <dimension ref="A3:B8"/>
  <sheetViews>
    <sheetView tabSelected="1" workbookViewId="0">
      <selection activeCell="K21" sqref="K21"/>
    </sheetView>
  </sheetViews>
  <sheetFormatPr defaultRowHeight="14.4"/>
  <cols>
    <col min="1" max="1" width="12.5546875" bestFit="1" customWidth="1"/>
    <col min="2" max="2" width="17" bestFit="1" customWidth="1"/>
  </cols>
  <sheetData>
    <row r="3" spans="1:2">
      <c r="A3" s="2" t="s">
        <v>48</v>
      </c>
      <c r="B3" t="s">
        <v>50</v>
      </c>
    </row>
    <row r="4" spans="1:2">
      <c r="A4" s="3" t="s">
        <v>41</v>
      </c>
      <c r="B4" s="5">
        <v>1800</v>
      </c>
    </row>
    <row r="5" spans="1:2">
      <c r="A5" s="3" t="s">
        <v>25</v>
      </c>
      <c r="B5" s="5">
        <v>11100</v>
      </c>
    </row>
    <row r="6" spans="1:2">
      <c r="A6" s="3" t="s">
        <v>15</v>
      </c>
      <c r="B6" s="5">
        <v>82000</v>
      </c>
    </row>
    <row r="7" spans="1:2">
      <c r="A7" s="3" t="s">
        <v>32</v>
      </c>
      <c r="B7" s="5">
        <v>34000</v>
      </c>
    </row>
    <row r="8" spans="1:2">
      <c r="A8" s="3" t="s">
        <v>49</v>
      </c>
      <c r="B8" s="5">
        <v>128900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3840-562E-4ACE-9E81-3CB704FC7E81}">
  <dimension ref="A1:L5"/>
  <sheetViews>
    <sheetView topLeftCell="K1" workbookViewId="0">
      <selection activeCell="L29" sqref="L29"/>
    </sheetView>
  </sheetViews>
  <sheetFormatPr defaultRowHeight="14.4"/>
  <cols>
    <col min="1" max="1" width="12.5546875" bestFit="1" customWidth="1"/>
    <col min="2" max="2" width="17" bestFit="1" customWidth="1"/>
    <col min="11" max="11" width="12.5546875" bestFit="1" customWidth="1"/>
    <col min="12" max="12" width="17" bestFit="1" customWidth="1"/>
  </cols>
  <sheetData>
    <row r="1" spans="1:12">
      <c r="K1" s="2" t="s">
        <v>48</v>
      </c>
      <c r="L1" t="s">
        <v>50</v>
      </c>
    </row>
    <row r="2" spans="1:12">
      <c r="K2" s="3" t="s">
        <v>51</v>
      </c>
      <c r="L2" s="5">
        <v>128900</v>
      </c>
    </row>
    <row r="3" spans="1:12">
      <c r="A3" s="2" t="s">
        <v>48</v>
      </c>
      <c r="B3" t="s">
        <v>50</v>
      </c>
      <c r="K3" s="3" t="s">
        <v>49</v>
      </c>
      <c r="L3" s="5">
        <v>128900</v>
      </c>
    </row>
    <row r="4" spans="1:12">
      <c r="A4" s="3" t="s">
        <v>51</v>
      </c>
      <c r="B4" s="5">
        <v>128900</v>
      </c>
    </row>
    <row r="5" spans="1:12">
      <c r="A5" s="3" t="s">
        <v>49</v>
      </c>
      <c r="B5" s="5">
        <v>128900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E7877-E87B-4E7D-A2E3-A9D7674D2E12}">
  <dimension ref="A3:C8"/>
  <sheetViews>
    <sheetView workbookViewId="0">
      <selection activeCell="C3" sqref="C3"/>
    </sheetView>
  </sheetViews>
  <sheetFormatPr defaultRowHeight="14.4"/>
  <cols>
    <col min="1" max="1" width="12.5546875" bestFit="1" customWidth="1"/>
    <col min="2" max="2" width="16.21875" bestFit="1" customWidth="1"/>
    <col min="3" max="3" width="28.109375" bestFit="1" customWidth="1"/>
  </cols>
  <sheetData>
    <row r="3" spans="1:3">
      <c r="A3" s="2" t="s">
        <v>48</v>
      </c>
      <c r="B3" t="s">
        <v>52</v>
      </c>
      <c r="C3" t="s">
        <v>54</v>
      </c>
    </row>
    <row r="4" spans="1:3">
      <c r="A4" s="3" t="s">
        <v>26</v>
      </c>
      <c r="B4" s="4">
        <v>2012</v>
      </c>
      <c r="C4" s="4">
        <v>10100</v>
      </c>
    </row>
    <row r="5" spans="1:3">
      <c r="A5" s="3" t="s">
        <v>21</v>
      </c>
      <c r="B5" s="4">
        <v>2009</v>
      </c>
      <c r="C5" s="4">
        <v>67000</v>
      </c>
    </row>
    <row r="6" spans="1:3">
      <c r="A6" s="3" t="s">
        <v>33</v>
      </c>
      <c r="B6" s="4">
        <v>2015</v>
      </c>
      <c r="C6" s="4">
        <v>26000</v>
      </c>
    </row>
    <row r="7" spans="1:3">
      <c r="A7" s="3" t="s">
        <v>16</v>
      </c>
      <c r="B7" s="4">
        <v>4019</v>
      </c>
      <c r="C7" s="4">
        <v>25800</v>
      </c>
    </row>
    <row r="8" spans="1:3">
      <c r="A8" s="3" t="s">
        <v>49</v>
      </c>
      <c r="B8" s="4">
        <v>10055</v>
      </c>
      <c r="C8" s="4">
        <v>128900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B3A0-1205-4FB5-BE63-D491F9454E70}">
  <dimension ref="A3:B7"/>
  <sheetViews>
    <sheetView workbookViewId="0">
      <selection activeCell="A5" sqref="A4:A6"/>
    </sheetView>
  </sheetViews>
  <sheetFormatPr defaultRowHeight="14.4"/>
  <cols>
    <col min="1" max="1" width="12.5546875" bestFit="1" customWidth="1"/>
    <col min="2" max="2" width="9.21875" bestFit="1" customWidth="1"/>
  </cols>
  <sheetData>
    <row r="3" spans="1:2">
      <c r="A3" s="2" t="s">
        <v>48</v>
      </c>
      <c r="B3" t="s">
        <v>55</v>
      </c>
    </row>
    <row r="4" spans="1:2">
      <c r="A4" s="3" t="s">
        <v>29</v>
      </c>
      <c r="B4" s="6">
        <v>0.20029835902536053</v>
      </c>
    </row>
    <row r="5" spans="1:2">
      <c r="A5" s="3" t="s">
        <v>17</v>
      </c>
      <c r="B5" s="6">
        <v>0.69955246146195926</v>
      </c>
    </row>
    <row r="6" spans="1:2">
      <c r="A6" s="3" t="s">
        <v>39</v>
      </c>
      <c r="B6" s="6">
        <v>0.10014917951268026</v>
      </c>
    </row>
    <row r="7" spans="1:2">
      <c r="A7" s="3" t="s">
        <v>49</v>
      </c>
      <c r="B7" s="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6D29-CD4A-49EC-91F0-460F95D93B49}">
  <dimension ref="A1:Q19"/>
  <sheetViews>
    <sheetView workbookViewId="0">
      <selection activeCell="H3" sqref="H3"/>
    </sheetView>
  </sheetViews>
  <sheetFormatPr defaultRowHeight="14.4"/>
  <cols>
    <col min="1" max="1" width="9.88671875" customWidth="1"/>
    <col min="2" max="2" width="13.33203125" customWidth="1"/>
    <col min="3" max="3" width="18.44140625" customWidth="1"/>
    <col min="4" max="4" width="13.33203125" customWidth="1"/>
    <col min="5" max="5" width="11.21875" customWidth="1"/>
    <col min="6" max="6" width="13" customWidth="1"/>
    <col min="7" max="7" width="10.88671875" customWidth="1"/>
    <col min="8" max="8" width="17.6640625" customWidth="1"/>
    <col min="9" max="9" width="14.21875" customWidth="1"/>
    <col min="12" max="12" width="11.6640625" customWidth="1"/>
    <col min="15" max="15" width="16.21875" customWidth="1"/>
    <col min="16" max="16" width="13" customWidth="1"/>
    <col min="17" max="17" width="17.109375" customWidth="1"/>
  </cols>
  <sheetData>
    <row r="1" spans="1:17">
      <c r="A1" s="11" t="s">
        <v>0</v>
      </c>
      <c r="B1" s="12" t="s">
        <v>1</v>
      </c>
      <c r="C1" s="12" t="s">
        <v>2</v>
      </c>
      <c r="D1" s="12" t="s">
        <v>3</v>
      </c>
      <c r="E1" s="12" t="s">
        <v>4</v>
      </c>
      <c r="F1" s="12" t="s">
        <v>5</v>
      </c>
      <c r="G1" s="12" t="s">
        <v>6</v>
      </c>
      <c r="H1" s="12" t="s">
        <v>7</v>
      </c>
      <c r="I1" s="12" t="s">
        <v>8</v>
      </c>
      <c r="J1" s="12" t="s">
        <v>9</v>
      </c>
      <c r="K1" s="13" t="s">
        <v>10</v>
      </c>
      <c r="L1" s="13" t="s">
        <v>11</v>
      </c>
      <c r="M1" s="14" t="s">
        <v>12</v>
      </c>
      <c r="O1" t="s">
        <v>46</v>
      </c>
    </row>
    <row r="2" spans="1:17">
      <c r="A2" s="15">
        <v>1001</v>
      </c>
      <c r="B2" s="16">
        <v>45292</v>
      </c>
      <c r="C2" s="17" t="s">
        <v>13</v>
      </c>
      <c r="D2" s="17" t="s">
        <v>14</v>
      </c>
      <c r="E2" s="17" t="s">
        <v>15</v>
      </c>
      <c r="F2" s="17">
        <v>1</v>
      </c>
      <c r="G2" s="17">
        <v>15000</v>
      </c>
      <c r="H2" s="17" t="s">
        <v>16</v>
      </c>
      <c r="I2" s="17" t="s">
        <v>17</v>
      </c>
      <c r="J2" s="17" t="s">
        <v>18</v>
      </c>
      <c r="K2" s="17">
        <f t="shared" ref="K2:K11" si="0" xml:space="preserve"> F2*G2</f>
        <v>15000</v>
      </c>
      <c r="L2" s="17" t="str">
        <f t="shared" ref="L2:L11" si="1">TEXT(B2, "mmmm")</f>
        <v>January</v>
      </c>
      <c r="M2" s="18" t="str">
        <f t="shared" ref="M2:M11" si="2">TEXT(B2, "yyyy")</f>
        <v>2024</v>
      </c>
      <c r="O2" s="26" t="s">
        <v>4</v>
      </c>
      <c r="P2" s="13" t="s">
        <v>45</v>
      </c>
      <c r="Q2" s="14" t="s">
        <v>47</v>
      </c>
    </row>
    <row r="3" spans="1:17">
      <c r="A3" s="15">
        <v>1002</v>
      </c>
      <c r="B3" s="16">
        <v>45293</v>
      </c>
      <c r="C3" s="17" t="s">
        <v>19</v>
      </c>
      <c r="D3" s="17" t="s">
        <v>20</v>
      </c>
      <c r="E3" s="17" t="s">
        <v>15</v>
      </c>
      <c r="F3" s="17">
        <v>1</v>
      </c>
      <c r="G3" s="17">
        <v>55000</v>
      </c>
      <c r="H3" s="17" t="s">
        <v>21</v>
      </c>
      <c r="I3" s="17" t="s">
        <v>17</v>
      </c>
      <c r="J3" s="17" t="s">
        <v>22</v>
      </c>
      <c r="K3" s="17">
        <f t="shared" si="0"/>
        <v>55000</v>
      </c>
      <c r="L3" s="17" t="str">
        <f t="shared" si="1"/>
        <v>January</v>
      </c>
      <c r="M3" s="18" t="str">
        <f t="shared" si="2"/>
        <v>2024</v>
      </c>
      <c r="O3" s="15" t="s">
        <v>15</v>
      </c>
      <c r="P3" s="17">
        <f>SUMIFS($K:$K, $E:$E, O3)</f>
        <v>82000</v>
      </c>
      <c r="Q3" s="18">
        <f>COUNTIFS($E:$E, O3, $I:$I, "Delivered" )</f>
        <v>3</v>
      </c>
    </row>
    <row r="4" spans="1:17">
      <c r="A4" s="15">
        <v>1003</v>
      </c>
      <c r="B4" s="16">
        <v>45293</v>
      </c>
      <c r="C4" s="17" t="s">
        <v>23</v>
      </c>
      <c r="D4" s="17" t="s">
        <v>24</v>
      </c>
      <c r="E4" s="17" t="s">
        <v>25</v>
      </c>
      <c r="F4" s="17">
        <v>3</v>
      </c>
      <c r="G4" s="17">
        <v>700</v>
      </c>
      <c r="H4" s="17" t="s">
        <v>26</v>
      </c>
      <c r="I4" s="17" t="s">
        <v>17</v>
      </c>
      <c r="J4" s="17" t="s">
        <v>27</v>
      </c>
      <c r="K4" s="17">
        <f t="shared" si="0"/>
        <v>2100</v>
      </c>
      <c r="L4" s="17" t="str">
        <f t="shared" si="1"/>
        <v>January</v>
      </c>
      <c r="M4" s="18" t="str">
        <f t="shared" si="2"/>
        <v>2024</v>
      </c>
      <c r="O4" s="15" t="s">
        <v>25</v>
      </c>
      <c r="P4" s="17">
        <f t="shared" ref="P4:P6" si="3">SUMIFS($K:$K, $E:$E, O4)</f>
        <v>11100</v>
      </c>
      <c r="Q4" s="18">
        <f t="shared" ref="Q4:Q6" si="4">COUNTIFS($E:$E, O4, $I:$I, "Delivered" )</f>
        <v>2</v>
      </c>
    </row>
    <row r="5" spans="1:17">
      <c r="A5" s="19">
        <v>1004</v>
      </c>
      <c r="B5" s="20">
        <v>45294</v>
      </c>
      <c r="C5" s="17" t="s">
        <v>13</v>
      </c>
      <c r="D5" s="17" t="s">
        <v>28</v>
      </c>
      <c r="E5" s="17" t="s">
        <v>15</v>
      </c>
      <c r="F5" s="17">
        <v>2</v>
      </c>
      <c r="G5" s="17">
        <v>2000</v>
      </c>
      <c r="H5" s="17" t="s">
        <v>16</v>
      </c>
      <c r="I5" s="17" t="s">
        <v>29</v>
      </c>
      <c r="J5" s="17" t="s">
        <v>18</v>
      </c>
      <c r="K5" s="17">
        <f t="shared" si="0"/>
        <v>4000</v>
      </c>
      <c r="L5" s="17" t="str">
        <f t="shared" si="1"/>
        <v>January</v>
      </c>
      <c r="M5" s="18" t="str">
        <f t="shared" si="2"/>
        <v>2024</v>
      </c>
      <c r="O5" s="15" t="s">
        <v>32</v>
      </c>
      <c r="P5" s="17">
        <f t="shared" si="3"/>
        <v>34000</v>
      </c>
      <c r="Q5" s="18">
        <f t="shared" si="4"/>
        <v>1</v>
      </c>
    </row>
    <row r="6" spans="1:17">
      <c r="A6" s="15">
        <v>1005</v>
      </c>
      <c r="B6" s="21">
        <v>45295</v>
      </c>
      <c r="C6" s="17" t="s">
        <v>30</v>
      </c>
      <c r="D6" s="17" t="s">
        <v>31</v>
      </c>
      <c r="E6" s="17" t="s">
        <v>32</v>
      </c>
      <c r="F6" s="17">
        <v>1</v>
      </c>
      <c r="G6" s="17">
        <v>22000</v>
      </c>
      <c r="H6" s="17" t="s">
        <v>33</v>
      </c>
      <c r="I6" s="17" t="s">
        <v>17</v>
      </c>
      <c r="J6" s="17" t="s">
        <v>34</v>
      </c>
      <c r="K6" s="17">
        <f t="shared" si="0"/>
        <v>22000</v>
      </c>
      <c r="L6" s="17" t="str">
        <f t="shared" si="1"/>
        <v>January</v>
      </c>
      <c r="M6" s="18" t="str">
        <f t="shared" si="2"/>
        <v>2024</v>
      </c>
      <c r="O6" s="22" t="s">
        <v>41</v>
      </c>
      <c r="P6" s="24">
        <f t="shared" si="3"/>
        <v>1800</v>
      </c>
      <c r="Q6" s="25">
        <f t="shared" si="4"/>
        <v>1</v>
      </c>
    </row>
    <row r="7" spans="1:17">
      <c r="A7" s="15">
        <v>1006</v>
      </c>
      <c r="B7" s="21">
        <v>45296</v>
      </c>
      <c r="C7" s="17" t="s">
        <v>35</v>
      </c>
      <c r="D7" s="17" t="s">
        <v>36</v>
      </c>
      <c r="E7" s="17" t="s">
        <v>25</v>
      </c>
      <c r="F7" s="17">
        <v>2</v>
      </c>
      <c r="G7" s="17">
        <v>2500</v>
      </c>
      <c r="H7" s="17" t="s">
        <v>16</v>
      </c>
      <c r="I7" s="17" t="s">
        <v>17</v>
      </c>
      <c r="J7" s="17" t="s">
        <v>22</v>
      </c>
      <c r="K7" s="17">
        <f t="shared" si="0"/>
        <v>5000</v>
      </c>
      <c r="L7" s="17" t="str">
        <f t="shared" si="1"/>
        <v>January</v>
      </c>
      <c r="M7" s="18" t="str">
        <f t="shared" si="2"/>
        <v>2024</v>
      </c>
    </row>
    <row r="8" spans="1:17">
      <c r="A8" s="15">
        <v>1007</v>
      </c>
      <c r="B8" s="21">
        <v>45297</v>
      </c>
      <c r="C8" s="17" t="s">
        <v>37</v>
      </c>
      <c r="D8" s="17" t="s">
        <v>38</v>
      </c>
      <c r="E8" s="17" t="s">
        <v>32</v>
      </c>
      <c r="F8" s="17">
        <v>1</v>
      </c>
      <c r="G8" s="17">
        <v>12000</v>
      </c>
      <c r="H8" s="17" t="s">
        <v>21</v>
      </c>
      <c r="I8" s="17" t="s">
        <v>39</v>
      </c>
      <c r="J8" s="17" t="s">
        <v>27</v>
      </c>
      <c r="K8" s="17">
        <f t="shared" si="0"/>
        <v>12000</v>
      </c>
      <c r="L8" s="17" t="str">
        <f t="shared" si="1"/>
        <v>January</v>
      </c>
      <c r="M8" s="18" t="str">
        <f t="shared" si="2"/>
        <v>2024</v>
      </c>
    </row>
    <row r="9" spans="1:17">
      <c r="A9" s="15">
        <v>1008</v>
      </c>
      <c r="B9" s="21">
        <v>45298</v>
      </c>
      <c r="C9" s="17" t="s">
        <v>19</v>
      </c>
      <c r="D9" s="17" t="s">
        <v>40</v>
      </c>
      <c r="E9" s="17" t="s">
        <v>41</v>
      </c>
      <c r="F9" s="17">
        <v>1</v>
      </c>
      <c r="G9" s="17">
        <v>1800</v>
      </c>
      <c r="H9" s="17" t="s">
        <v>16</v>
      </c>
      <c r="I9" s="17" t="s">
        <v>17</v>
      </c>
      <c r="J9" s="17" t="s">
        <v>22</v>
      </c>
      <c r="K9" s="17">
        <f t="shared" si="0"/>
        <v>1800</v>
      </c>
      <c r="L9" s="17" t="str">
        <f t="shared" si="1"/>
        <v>January</v>
      </c>
      <c r="M9" s="18" t="str">
        <f t="shared" si="2"/>
        <v>2024</v>
      </c>
    </row>
    <row r="10" spans="1:17">
      <c r="A10" s="15">
        <v>1009</v>
      </c>
      <c r="B10" s="21">
        <v>45299</v>
      </c>
      <c r="C10" s="17" t="s">
        <v>42</v>
      </c>
      <c r="D10" s="17" t="s">
        <v>43</v>
      </c>
      <c r="E10" s="17" t="s">
        <v>15</v>
      </c>
      <c r="F10" s="17">
        <v>1</v>
      </c>
      <c r="G10" s="17">
        <v>8000</v>
      </c>
      <c r="H10" s="17" t="s">
        <v>26</v>
      </c>
      <c r="I10" s="17" t="s">
        <v>17</v>
      </c>
      <c r="J10" s="17" t="s">
        <v>34</v>
      </c>
      <c r="K10" s="17">
        <f t="shared" si="0"/>
        <v>8000</v>
      </c>
      <c r="L10" s="17" t="str">
        <f t="shared" si="1"/>
        <v>January</v>
      </c>
      <c r="M10" s="18" t="str">
        <f t="shared" si="2"/>
        <v>2024</v>
      </c>
    </row>
    <row r="11" spans="1:17">
      <c r="A11" s="22">
        <v>1010</v>
      </c>
      <c r="B11" s="23">
        <v>45300</v>
      </c>
      <c r="C11" s="24" t="s">
        <v>23</v>
      </c>
      <c r="D11" s="24" t="s">
        <v>44</v>
      </c>
      <c r="E11" s="24" t="s">
        <v>25</v>
      </c>
      <c r="F11" s="24">
        <v>2</v>
      </c>
      <c r="G11" s="24">
        <v>2000</v>
      </c>
      <c r="H11" s="24" t="s">
        <v>33</v>
      </c>
      <c r="I11" s="24" t="s">
        <v>29</v>
      </c>
      <c r="J11" s="24" t="s">
        <v>27</v>
      </c>
      <c r="K11" s="24">
        <f t="shared" si="0"/>
        <v>4000</v>
      </c>
      <c r="L11" s="24" t="str">
        <f t="shared" si="1"/>
        <v>January</v>
      </c>
      <c r="M11" s="25" t="str">
        <f t="shared" si="2"/>
        <v>2024</v>
      </c>
    </row>
    <row r="12" spans="1:17">
      <c r="B12" s="1"/>
    </row>
    <row r="13" spans="1:17">
      <c r="B13" s="1"/>
    </row>
    <row r="14" spans="1:17">
      <c r="B14" s="1"/>
    </row>
    <row r="15" spans="1:17">
      <c r="B15" s="1"/>
      <c r="C15" s="26" t="s">
        <v>53</v>
      </c>
      <c r="D15" s="14" t="s">
        <v>45</v>
      </c>
    </row>
    <row r="16" spans="1:17">
      <c r="C16" s="15" t="s">
        <v>16</v>
      </c>
      <c r="D16" s="18">
        <f>SUMIFS($K:$K, $H:$H, C16)</f>
        <v>25800</v>
      </c>
    </row>
    <row r="17" spans="3:4">
      <c r="C17" s="15" t="s">
        <v>21</v>
      </c>
      <c r="D17" s="18">
        <f t="shared" ref="D17:D19" si="5">SUMIFS($K:$K, $H:$H, C17)</f>
        <v>67000</v>
      </c>
    </row>
    <row r="18" spans="3:4">
      <c r="C18" s="15" t="s">
        <v>26</v>
      </c>
      <c r="D18" s="18">
        <f t="shared" si="5"/>
        <v>10100</v>
      </c>
    </row>
    <row r="19" spans="3:4">
      <c r="C19" s="22" t="s">
        <v>33</v>
      </c>
      <c r="D19" s="25">
        <f t="shared" si="5"/>
        <v>26000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F4CE7-ACF9-41AE-A32C-B5EA2CA04E55}">
  <dimension ref="A1:U5"/>
  <sheetViews>
    <sheetView workbookViewId="0">
      <selection activeCell="H2" sqref="H2"/>
    </sheetView>
  </sheetViews>
  <sheetFormatPr defaultRowHeight="14.4"/>
  <cols>
    <col min="1" max="1" width="21" customWidth="1"/>
    <col min="3" max="3" width="14.33203125" customWidth="1"/>
  </cols>
  <sheetData>
    <row r="1" spans="1:21" ht="31.2">
      <c r="A1" s="10" t="s">
        <v>59</v>
      </c>
      <c r="B1" s="10"/>
      <c r="C1" s="10"/>
      <c r="D1" s="10"/>
      <c r="E1" s="10"/>
      <c r="F1" s="10"/>
      <c r="G1" s="10"/>
      <c r="H1" s="10"/>
      <c r="I1" s="10"/>
      <c r="J1" s="10"/>
      <c r="K1" s="10"/>
      <c r="L1" s="10"/>
      <c r="M1" s="10"/>
      <c r="N1" s="10"/>
      <c r="O1" s="10"/>
      <c r="P1" s="10"/>
      <c r="Q1" s="10"/>
      <c r="R1" s="10"/>
      <c r="S1" s="10"/>
      <c r="T1" s="10"/>
      <c r="U1" s="10"/>
    </row>
    <row r="2" spans="1:21">
      <c r="A2" t="s">
        <v>45</v>
      </c>
      <c r="B2" s="1"/>
      <c r="C2" s="7">
        <f>SUM(Raw_Data!$K:$K)</f>
        <v>128900</v>
      </c>
    </row>
    <row r="3" spans="1:21">
      <c r="A3" t="s">
        <v>56</v>
      </c>
      <c r="B3" s="1"/>
      <c r="C3" s="8">
        <f>COUNTA(Raw_Data!$A:$A)-1</f>
        <v>10</v>
      </c>
    </row>
    <row r="4" spans="1:21">
      <c r="A4" t="s">
        <v>57</v>
      </c>
      <c r="B4" s="1"/>
      <c r="C4" s="7">
        <f>C2/C3</f>
        <v>12890</v>
      </c>
    </row>
    <row r="5" spans="1:21">
      <c r="A5" t="s">
        <v>58</v>
      </c>
      <c r="B5" s="1"/>
      <c r="C5" s="9">
        <f>COUNTIFS(Raw_Data!$I:$I, "Delivered")/C3</f>
        <v>0.7</v>
      </c>
    </row>
  </sheetData>
  <mergeCells count="1">
    <mergeCell ref="A1:U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vt:lpstr>
      <vt:lpstr>Monthly Sales Trend</vt:lpstr>
      <vt:lpstr>Payment Method Usage</vt:lpstr>
      <vt:lpstr>Delivery Status</vt:lpstr>
      <vt:lpstr>Raw_Data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Kumbhare</dc:creator>
  <cp:lastModifiedBy>Piyush Kumbhare</cp:lastModifiedBy>
  <dcterms:created xsi:type="dcterms:W3CDTF">2026-01-23T19:21:30Z</dcterms:created>
  <dcterms:modified xsi:type="dcterms:W3CDTF">2026-01-23T22:52:04Z</dcterms:modified>
</cp:coreProperties>
</file>